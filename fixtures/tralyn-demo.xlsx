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AS" sheetId="1" r:id="rId1"/>
    <sheet name="LOCALIZAÇÕES" sheetId="2" r:id="rId2"/>
    <sheet name="FORNECEDORES" sheetId="3" r:id="rId3"/>
    <sheet name="UTILIZADORES" sheetId="4" r:id="rId4"/>
    <sheet name="PRODUTOS" sheetId="5" r:id="rId5"/>
    <sheet name="MOVIMENTAÇÕES" sheetId="6" r:id="rId6"/>
    <sheet name="DASHBOAR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Categoria</v>
      </c>
      <c r="B1" t="str">
        <v>Prefixo</v>
      </c>
      <c r="C1" t="str">
        <v>Descrição</v>
      </c>
    </row>
    <row r="2">
      <c r="A2" t="str">
        <v>Solar Panels</v>
      </c>
      <c r="B2" t="str">
        <v>PAN</v>
      </c>
      <c r="C2" t="str">
        <v>Photovoltaic modules</v>
      </c>
    </row>
    <row r="3">
      <c r="A3" t="str">
        <v>Inverters</v>
      </c>
      <c r="B3" t="str">
        <v>INV</v>
      </c>
      <c r="C3" t="str">
        <v>Hybrid and string inverters</v>
      </c>
    </row>
    <row r="4">
      <c r="A4" t="str">
        <v>Batteries</v>
      </c>
      <c r="B4" t="str">
        <v>BAT</v>
      </c>
      <c r="C4" t="str">
        <v>Energy storage</v>
      </c>
    </row>
    <row r="5">
      <c r="A5" t="str">
        <v>EV Chargers</v>
      </c>
      <c r="B5" t="str">
        <v>EVC</v>
      </c>
    </row>
    <row r="6">
      <c r="A6" t="str">
        <v>Mounting &amp; Protection</v>
      </c>
      <c r="B6" t="str">
        <v>MNT</v>
      </c>
      <c r="C6" t="str">
        <v>Mounting structures and electrical protection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Código</v>
      </c>
      <c r="B1" t="str">
        <v>Estante / Zona</v>
      </c>
      <c r="C1" t="str">
        <v>Prateleira</v>
      </c>
      <c r="D1" t="str">
        <v>Posição</v>
      </c>
      <c r="E1" t="str">
        <v>Descrição</v>
      </c>
    </row>
    <row r="2">
      <c r="A2" t="str">
        <v>WH-A-01</v>
      </c>
      <c r="B2" t="str">
        <v>Main Warehouse</v>
      </c>
      <c r="C2" t="str">
        <v>A</v>
      </c>
      <c r="D2" t="str">
        <v>01</v>
      </c>
      <c r="E2" t="str">
        <v>Main Warehouse A-01</v>
      </c>
    </row>
    <row r="3">
      <c r="A3" t="str">
        <v>RACK-B-02</v>
      </c>
      <c r="B3" t="str">
        <v>Rack B</v>
      </c>
      <c r="C3" t="str">
        <v>B</v>
      </c>
      <c r="D3" t="str">
        <v>02</v>
      </c>
      <c r="E3" t="str">
        <v>Rack B-02</v>
      </c>
    </row>
    <row r="4">
      <c r="A4" t="str">
        <v>YARD-01</v>
      </c>
      <c r="B4" t="str">
        <v>Overflow Yard</v>
      </c>
      <c r="E4" t="str">
        <v>Overflow Yard</v>
      </c>
    </row>
    <row r="5">
      <c r="A5" t="str">
        <v>Z-99-99</v>
      </c>
      <c r="B5" t="str">
        <v>Z</v>
      </c>
      <c r="C5" t="str">
        <v>99</v>
      </c>
      <c r="D5" t="str">
        <v>99</v>
      </c>
      <c r="E5" t="str">
        <v>Exemplo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Fornecedor</v>
      </c>
      <c r="B1" t="str">
        <v>Contacto</v>
      </c>
      <c r="C1" t="str">
        <v>Email</v>
      </c>
      <c r="D1" t="str">
        <v>Telefone</v>
      </c>
      <c r="E1" t="str">
        <v>Observações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Nome</v>
      </c>
      <c r="B1" t="str">
        <v>Perfil</v>
      </c>
      <c r="C1" t="str">
        <v>Ativo?</v>
      </c>
      <c r="D1" t="str">
        <v>Email</v>
      </c>
    </row>
    <row r="2">
      <c r="A2" t="str">
        <v>Demo Operator</v>
      </c>
      <c r="B2" t="str">
        <v>Operador</v>
      </c>
      <c r="C2" t="str">
        <v>Sim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Código</v>
      </c>
      <c r="B1" t="str">
        <v>Categoria</v>
      </c>
      <c r="C1" t="str">
        <v>Marca</v>
      </c>
      <c r="D1" t="str">
        <v>Modelo / Produto</v>
      </c>
      <c r="E1" t="str">
        <v>Especificação</v>
      </c>
      <c r="F1" t="str">
        <v>Unidade</v>
      </c>
      <c r="G1" t="str">
        <v>Estoque Inicial</v>
      </c>
      <c r="H1" t="str">
        <v>Estoque Mínimo</v>
      </c>
      <c r="I1" t="str">
        <v>Localização</v>
      </c>
      <c r="J1" t="str">
        <v>Fornecedor Padrão</v>
      </c>
      <c r="K1" t="str">
        <v>ID QR / Barcode</v>
      </c>
      <c r="L1" t="str">
        <v>Ativo?</v>
      </c>
      <c r="M1" t="str">
        <v>Data Cadastro Sistema</v>
      </c>
      <c r="N1" t="str">
        <v>Observações</v>
      </c>
      <c r="O1" t="str">
        <v>Estoque Atual</v>
      </c>
      <c r="P1" t="str">
        <v>Status Estoque</v>
      </c>
    </row>
    <row r="2">
      <c r="A2" t="str">
        <v>PAN-101</v>
      </c>
      <c r="B2" t="str">
        <v>Solar Panels</v>
      </c>
      <c r="C2" t="str">
        <v>Sunvolt</v>
      </c>
      <c r="D2" t="str">
        <v>SV-450</v>
      </c>
      <c r="E2" t="str">
        <v>450 W mono</v>
      </c>
      <c r="F2" t="str">
        <v>un</v>
      </c>
      <c r="G2">
        <v>36</v>
      </c>
      <c r="H2">
        <v>10</v>
      </c>
      <c r="I2" t="str">
        <v>WH-A-01</v>
      </c>
      <c r="K2" t="str">
        <v>PAN-101</v>
      </c>
      <c r="L2" t="str">
        <v>Sim</v>
      </c>
      <c r="M2">
        <v>46083</v>
      </c>
      <c r="O2">
        <f>G2+SUMIFS('MOVIMENTAÇÕES'!F:F,'MOVIMENTAÇÕES'!C:C,A2,'MOVIMENTAÇÕES'!B:B,"Entrada")-SUMIFS('MOVIMENTAÇÕES'!F:F,'MOVIMENTAÇÕES'!C:C,A2,'MOVIMENTAÇÕES'!B:B,"Saída")+SUMIFS('MOVIMENTAÇÕES'!F:F,'MOVIMENTAÇÕES'!C:C,A2,'MOVIMENTAÇÕES'!B:B,"Ajuste")</f>
        <v>42</v>
      </c>
      <c r="P2" t="str">
        <f>IF(O2&lt;=0,"SEM STOCK",IF(O2&lt;=H2,"REPOR","OK"))</f>
        <v>OK</v>
      </c>
    </row>
    <row r="3">
      <c r="A3" t="str">
        <v>PAN-102</v>
      </c>
      <c r="B3" t="str">
        <v>Solar Panels</v>
      </c>
      <c r="C3" t="str">
        <v xml:space="preserve">  Sunvolt </v>
      </c>
      <c r="D3" t="str">
        <v>SV-550</v>
      </c>
      <c r="E3" t="str">
        <v>550 W bifacial</v>
      </c>
      <c r="F3" t="str">
        <v>un</v>
      </c>
      <c r="G3">
        <v>18</v>
      </c>
      <c r="H3">
        <v>8</v>
      </c>
      <c r="I3" t="str">
        <v>WH-A-01</v>
      </c>
      <c r="K3" t="str">
        <v>PAN-102</v>
      </c>
      <c r="L3" t="str">
        <v>Sim</v>
      </c>
      <c r="M3">
        <v>46083</v>
      </c>
      <c r="O3">
        <f>G3+SUMIFS('MOVIMENTAÇÕES'!F:F,'MOVIMENTAÇÕES'!C:C,A3,'MOVIMENTAÇÕES'!B:B,"Entrada")-SUMIFS('MOVIMENTAÇÕES'!F:F,'MOVIMENTAÇÕES'!C:C,A3,'MOVIMENTAÇÕES'!B:B,"Saída")+SUMIFS('MOVIMENTAÇÕES'!F:F,'MOVIMENTAÇÕES'!C:C,A3,'MOVIMENTAÇÕES'!B:B,"Ajuste")</f>
        <v>6</v>
      </c>
      <c r="P3" t="str">
        <f>IF(O3&lt;=0,"SEM STOCK",IF(O3&lt;=H3,"REPOR","OK"))</f>
        <v>REPOR</v>
      </c>
    </row>
    <row r="4">
      <c r="A4" t="str">
        <v>INV-201</v>
      </c>
      <c r="B4" t="str">
        <v>Inverters</v>
      </c>
      <c r="C4" t="str">
        <v>Voltaris</v>
      </c>
      <c r="D4" t="str">
        <v>VT-H5</v>
      </c>
      <c r="E4" t="str">
        <v>Hybrid inverter 5 kW</v>
      </c>
      <c r="F4" t="str">
        <v>un</v>
      </c>
      <c r="G4">
        <v>0</v>
      </c>
      <c r="H4">
        <v>2</v>
      </c>
      <c r="I4" t="str">
        <v>RACK-B-02</v>
      </c>
      <c r="K4" t="str">
        <v>INV-201</v>
      </c>
      <c r="L4" t="str">
        <v>Sim</v>
      </c>
      <c r="M4">
        <v>46083</v>
      </c>
      <c r="O4">
        <f>G4+SUMIFS('MOVIMENTAÇÕES'!F:F,'MOVIMENTAÇÕES'!C:C,A4,'MOVIMENTAÇÕES'!B:B,"Entrada")-SUMIFS('MOVIMENTAÇÕES'!F:F,'MOVIMENTAÇÕES'!C:C,A4,'MOVIMENTAÇÕES'!B:B,"Saída")+SUMIFS('MOVIMENTAÇÕES'!F:F,'MOVIMENTAÇÕES'!C:C,A4,'MOVIMENTAÇÕES'!B:B,"Ajuste")</f>
        <v>5</v>
      </c>
      <c r="P4" t="str">
        <f>IF(O4&lt;=0,"SEM STOCK",IF(O4&lt;=H4,"REPOR","OK"))</f>
        <v>OK</v>
      </c>
    </row>
    <row r="5">
      <c r="A5" t="str">
        <v>INV-202</v>
      </c>
      <c r="B5" t="str">
        <v>Inverters</v>
      </c>
      <c r="C5" t="str">
        <v>Voltaris</v>
      </c>
      <c r="D5" t="str">
        <v>VT-S10</v>
      </c>
      <c r="E5" t="str">
        <v>String inverter 10 kW</v>
      </c>
      <c r="F5" t="str">
        <v>un</v>
      </c>
      <c r="G5">
        <v>3</v>
      </c>
      <c r="H5">
        <v>3</v>
      </c>
      <c r="I5" t="str">
        <v>RACK-B-02</v>
      </c>
      <c r="K5" t="str">
        <v>INV-202</v>
      </c>
      <c r="L5" t="str">
        <v>Sim</v>
      </c>
      <c r="M5">
        <v>46083</v>
      </c>
      <c r="O5">
        <f>G5+SUMIFS('MOVIMENTAÇÕES'!F:F,'MOVIMENTAÇÕES'!C:C,A5,'MOVIMENTAÇÕES'!B:B,"Entrada")-SUMIFS('MOVIMENTAÇÕES'!F:F,'MOVIMENTAÇÕES'!C:C,A5,'MOVIMENTAÇÕES'!B:B,"Saída")+SUMIFS('MOVIMENTAÇÕES'!F:F,'MOVIMENTAÇÕES'!C:C,A5,'MOVIMENTAÇÕES'!B:B,"Ajuste")</f>
        <v>3</v>
      </c>
      <c r="P5" t="str">
        <f>IF(O5&lt;=0,"SEM STOCK",IF(O5&lt;=H5,"REPOR","OK"))</f>
        <v>REPOR</v>
      </c>
    </row>
    <row r="6">
      <c r="A6" t="str">
        <v>BAT-301</v>
      </c>
      <c r="B6" t="str">
        <v>Batteries</v>
      </c>
      <c r="C6" t="str">
        <v>Gridora</v>
      </c>
      <c r="D6" t="str">
        <v>GD-B5</v>
      </c>
      <c r="E6" t="str">
        <v>Battery module 5 kWh</v>
      </c>
      <c r="F6" t="str">
        <v>un</v>
      </c>
      <c r="G6">
        <v>14</v>
      </c>
      <c r="H6">
        <v>4</v>
      </c>
      <c r="I6" t="str">
        <v>RACK-B-02</v>
      </c>
      <c r="K6" t="str">
        <v>BAT-301</v>
      </c>
      <c r="L6" t="str">
        <v>Sim</v>
      </c>
      <c r="M6">
        <v>46083</v>
      </c>
      <c r="O6">
        <f>G6+SUMIFS('MOVIMENTAÇÕES'!F:F,'MOVIMENTAÇÕES'!C:C,A6,'MOVIMENTAÇÕES'!B:B,"Entrada")-SUMIFS('MOVIMENTAÇÕES'!F:F,'MOVIMENTAÇÕES'!C:C,A6,'MOVIMENTAÇÕES'!B:B,"Saída")+SUMIFS('MOVIMENTAÇÕES'!F:F,'MOVIMENTAÇÕES'!C:C,A6,'MOVIMENTAÇÕES'!B:B,"Ajuste")</f>
        <v>14</v>
      </c>
      <c r="P6" t="str">
        <f>IF(O6&lt;=0,"SEM STOCK",IF(O6&lt;=H6,"REPOR","OK"))</f>
        <v>OK</v>
      </c>
    </row>
    <row r="7">
      <c r="A7" t="str">
        <v>BAT-302</v>
      </c>
      <c r="B7" t="str">
        <v>Batteries</v>
      </c>
      <c r="C7" t="str">
        <v>Gridora</v>
      </c>
      <c r="D7" t="str">
        <v>GD-RK4</v>
      </c>
      <c r="E7" t="str">
        <v>Battery rack kit</v>
      </c>
      <c r="F7" t="str">
        <v>kit</v>
      </c>
      <c r="G7">
        <v>2</v>
      </c>
      <c r="H7">
        <v>1</v>
      </c>
      <c r="I7" t="str">
        <v>RACK-B-02</v>
      </c>
      <c r="K7" t="str">
        <v>BAT-302</v>
      </c>
      <c r="L7" t="str">
        <v>Sim</v>
      </c>
      <c r="M7">
        <v>46083</v>
      </c>
      <c r="O7">
        <f>G7+SUMIFS('MOVIMENTAÇÕES'!F:F,'MOVIMENTAÇÕES'!C:C,A7,'MOVIMENTAÇÕES'!B:B,"Entrada")-SUMIFS('MOVIMENTAÇÕES'!F:F,'MOVIMENTAÇÕES'!C:C,A7,'MOVIMENTAÇÕES'!B:B,"Saída")+SUMIFS('MOVIMENTAÇÕES'!F:F,'MOVIMENTAÇÕES'!C:C,A7,'MOVIMENTAÇÕES'!B:B,"Ajuste")</f>
        <v>0</v>
      </c>
      <c r="P7" t="str">
        <f>IF(O7&lt;=0,"SEM STOCK",IF(O7&lt;=H7,"REPOR","OK"))</f>
        <v>SEM STOCK</v>
      </c>
    </row>
    <row r="8">
      <c r="A8" t="str">
        <v>EVC-401</v>
      </c>
      <c r="B8" t="str">
        <v>EV Chargers</v>
      </c>
      <c r="C8" t="str">
        <v>Northgrid</v>
      </c>
      <c r="E8" t="str">
        <v>EV charger 7 kW</v>
      </c>
      <c r="F8" t="str">
        <v>un</v>
      </c>
      <c r="G8">
        <v>7</v>
      </c>
      <c r="H8">
        <v>2</v>
      </c>
      <c r="I8" t="str">
        <v>WH-A-01</v>
      </c>
      <c r="K8" t="str">
        <v>EVC-401</v>
      </c>
      <c r="L8" t="str">
        <v>Sim</v>
      </c>
      <c r="M8">
        <v>46083</v>
      </c>
      <c r="O8">
        <f>G8+SUMIFS('MOVIMENTAÇÕES'!F:F,'MOVIMENTAÇÕES'!C:C,A8,'MOVIMENTAÇÕES'!B:B,"Entrada")-SUMIFS('MOVIMENTAÇÕES'!F:F,'MOVIMENTAÇÕES'!C:C,A8,'MOVIMENTAÇÕES'!B:B,"Saída")+SUMIFS('MOVIMENTAÇÕES'!F:F,'MOVIMENTAÇÕES'!C:C,A8,'MOVIMENTAÇÕES'!B:B,"Ajuste")</f>
        <v>7</v>
      </c>
      <c r="P8" t="str">
        <f>IF(O8&lt;=0,"SEM STOCK",IF(O8&lt;=H8,"REPOR","OK"))</f>
        <v>OK</v>
      </c>
    </row>
    <row r="9">
      <c r="A9" t="str">
        <v>EVC-402</v>
      </c>
      <c r="B9" t="str">
        <v>EV Chargers</v>
      </c>
      <c r="C9" t="str">
        <v>Northgrid</v>
      </c>
      <c r="D9" t="str">
        <v>NG-22</v>
      </c>
      <c r="E9" t="str">
        <v>EV charger 22 kW</v>
      </c>
      <c r="F9" t="str">
        <v>un</v>
      </c>
      <c r="G9">
        <v>0</v>
      </c>
      <c r="H9">
        <v>1</v>
      </c>
      <c r="I9" t="str">
        <v>WH-A-01</v>
      </c>
      <c r="K9" t="str">
        <v>EVC-402</v>
      </c>
      <c r="L9" t="str">
        <v>Sim</v>
      </c>
      <c r="M9">
        <v>46083</v>
      </c>
      <c r="N9" t="str">
        <v>Demo: awaiting first delivery</v>
      </c>
      <c r="O9">
        <f>G9+SUMIFS('MOVIMENTAÇÕES'!F:F,'MOVIMENTAÇÕES'!C:C,A9,'MOVIMENTAÇÕES'!B:B,"Entrada")-SUMIFS('MOVIMENTAÇÕES'!F:F,'MOVIMENTAÇÕES'!C:C,A9,'MOVIMENTAÇÕES'!B:B,"Saída")+SUMIFS('MOVIMENTAÇÕES'!F:F,'MOVIMENTAÇÕES'!C:C,A9,'MOVIMENTAÇÕES'!B:B,"Ajuste")</f>
        <v>0</v>
      </c>
      <c r="P9" t="str">
        <f>IF(O9&lt;=0,"SEM STOCK",IF(O9&lt;=H9,"REPOR","OK"))</f>
        <v>SEM STOCK</v>
      </c>
    </row>
    <row r="10">
      <c r="A10" t="str">
        <v>MNT-501</v>
      </c>
      <c r="B10" t="str">
        <v>Mounting &amp; Protection</v>
      </c>
      <c r="D10" t="str">
        <v>Mounting Rail 4 m</v>
      </c>
      <c r="E10" t="str">
        <v>Aluminium</v>
      </c>
      <c r="F10" t="str">
        <v>un</v>
      </c>
      <c r="G10">
        <v>64</v>
      </c>
      <c r="H10">
        <v>20</v>
      </c>
      <c r="I10" t="str">
        <v>YARD-01</v>
      </c>
      <c r="K10" t="str">
        <v>MNT-501</v>
      </c>
      <c r="L10" t="str">
        <v>Sim</v>
      </c>
      <c r="M10">
        <v>46083</v>
      </c>
      <c r="O10">
        <f>G10+SUMIFS('MOVIMENTAÇÕES'!F:F,'MOVIMENTAÇÕES'!C:C,A10,'MOVIMENTAÇÕES'!B:B,"Entrada")-SUMIFS('MOVIMENTAÇÕES'!F:F,'MOVIMENTAÇÕES'!C:C,A10,'MOVIMENTAÇÕES'!B:B,"Saída")+SUMIFS('MOVIMENTAÇÕES'!F:F,'MOVIMENTAÇÕES'!C:C,A10,'MOVIMENTAÇÕES'!B:B,"Ajuste")</f>
        <v>64</v>
      </c>
      <c r="P10" t="str">
        <f>IF(O10&lt;=0,"SEM STOCK",IF(O10&lt;=H10,"REPOR","OK"))</f>
        <v>OK</v>
      </c>
    </row>
    <row r="11">
      <c r="A11" t="str">
        <v>MNT-502</v>
      </c>
      <c r="B11" t="str">
        <v>Mounting &amp; Protection</v>
      </c>
      <c r="D11" t="str">
        <v>Roof Hook</v>
      </c>
      <c r="E11" t="str">
        <v>Aço inoxidável</v>
      </c>
      <c r="F11" t="str">
        <v>un</v>
      </c>
      <c r="G11">
        <v>120</v>
      </c>
      <c r="H11">
        <v>40</v>
      </c>
      <c r="I11" t="str">
        <v>YARD-01</v>
      </c>
      <c r="K11" t="str">
        <v>MNT-502</v>
      </c>
      <c r="L11" t="str">
        <v>Sim</v>
      </c>
      <c r="M11">
        <v>46083</v>
      </c>
      <c r="O11">
        <f>G11+SUMIFS('MOVIMENTAÇÕES'!F:F,'MOVIMENTAÇÕES'!C:C,A11,'MOVIMENTAÇÕES'!B:B,"Entrada")-SUMIFS('MOVIMENTAÇÕES'!F:F,'MOVIMENTAÇÕES'!C:C,A11,'MOVIMENTAÇÕES'!B:B,"Saída")+SUMIFS('MOVIMENTAÇÕES'!F:F,'MOVIMENTAÇÕES'!C:C,A11,'MOVIMENTAÇÕES'!B:B,"Ajuste")</f>
        <v>125</v>
      </c>
      <c r="P11" t="str">
        <f>IF(O11&lt;=0,"SEM STOCK",IF(O11&lt;=H11,"REPOR","OK"))</f>
        <v>OK</v>
      </c>
    </row>
    <row r="12">
      <c r="A12" t="str">
        <v>MNT-503</v>
      </c>
      <c r="B12" t="str">
        <v>Mounting &amp; Protection</v>
      </c>
      <c r="C12" t="str">
        <v>Gridora</v>
      </c>
      <c r="D12" t="str">
        <v>GD-DC1000</v>
      </c>
      <c r="E12" t="str">
        <v>DC isolator 1000 V</v>
      </c>
      <c r="F12" t="str">
        <v>un</v>
      </c>
      <c r="G12">
        <v>4</v>
      </c>
      <c r="H12">
        <v>6</v>
      </c>
      <c r="I12" t="str">
        <v>WH-A-01</v>
      </c>
      <c r="L12" t="str">
        <v>Sim</v>
      </c>
      <c r="M12">
        <v>46083</v>
      </c>
      <c r="O12">
        <f>G12+SUMIFS('MOVIMENTAÇÕES'!F:F,'MOVIMENTAÇÕES'!C:C,A12,'MOVIMENTAÇÕES'!B:B,"Entrada")-SUMIFS('MOVIMENTAÇÕES'!F:F,'MOVIMENTAÇÕES'!C:C,A12,'MOVIMENTAÇÕES'!B:B,"Saída")+SUMIFS('MOVIMENTAÇÕES'!F:F,'MOVIMENTAÇÕES'!C:C,A12,'MOVIMENTAÇÕES'!B:B,"Ajuste")</f>
        <v>4</v>
      </c>
      <c r="P12" t="str">
        <f>IF(O12&lt;=0,"SEM STOCK",IF(O12&lt;=H12,"REPOR","OK"))</f>
        <v>REPOR</v>
      </c>
    </row>
    <row r="13">
      <c r="A13" t="str">
        <v>MNT-504</v>
      </c>
      <c r="B13" t="str">
        <v>Mounting &amp; Protection</v>
      </c>
      <c r="D13" t="str">
        <v>Connector Pair</v>
      </c>
      <c r="F13" t="str">
        <v>par</v>
      </c>
      <c r="G13">
        <v>75</v>
      </c>
      <c r="H13">
        <v>25</v>
      </c>
      <c r="I13" t="str">
        <v>WH-A-01</v>
      </c>
      <c r="K13" t="str">
        <v>LEG-MNT-504</v>
      </c>
      <c r="L13" t="str">
        <v>Sim</v>
      </c>
      <c r="M13">
        <v>46083</v>
      </c>
      <c r="O13">
        <f>G13+SUMIFS('MOVIMENTAÇÕES'!F:F,'MOVIMENTAÇÕES'!C:C,A13,'MOVIMENTAÇÕES'!B:B,"Entrada")-SUMIFS('MOVIMENTAÇÕES'!F:F,'MOVIMENTAÇÕES'!C:C,A13,'MOVIMENTAÇÕES'!B:B,"Saída")+SUMIFS('MOVIMENTAÇÕES'!F:F,'MOVIMENTAÇÕES'!C:C,A13,'MOVIMENTAÇÕES'!B:B,"Ajuste")</f>
        <v>75</v>
      </c>
      <c r="P13" t="str">
        <f>IF(O13&lt;=0,"SEM STOCK",IF(O13&lt;=H13,"REPOR","OK"))</f>
        <v>OK</v>
      </c>
    </row>
  </sheetData>
  <ignoredErrors>
    <ignoredError numberStoredAsText="1" sqref="A1:P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Data</v>
      </c>
      <c r="B1" t="str">
        <v>Tipo</v>
      </c>
      <c r="C1" t="str">
        <v>Código</v>
      </c>
      <c r="D1" t="str">
        <v>Categoria</v>
      </c>
      <c r="E1" t="str">
        <v>Produto / Modelo</v>
      </c>
      <c r="F1" t="str">
        <v>Quantidade</v>
      </c>
      <c r="G1" t="str">
        <v>Projeto / Cliente</v>
      </c>
      <c r="H1" t="str">
        <v>Responsável</v>
      </c>
      <c r="I1" t="str">
        <v>Documento / Ref.</v>
      </c>
      <c r="J1" t="str">
        <v>Observação</v>
      </c>
    </row>
    <row r="2">
      <c r="A2">
        <v>46097</v>
      </c>
      <c r="B2" t="str">
        <v>Entrada</v>
      </c>
      <c r="C2" t="str">
        <v>PAN-101</v>
      </c>
      <c r="D2" t="str">
        <f>VLOOKUP(C2,PRODUTOS!A:B,2,FALSE)</f>
        <v>Solar Panels</v>
      </c>
      <c r="E2" t="str">
        <f>VLOOKUP(C2,PRODUTOS!A:D,4,FALSE)</f>
        <v>SV-450</v>
      </c>
      <c r="F2">
        <v>6</v>
      </c>
      <c r="H2" t="str">
        <v>Demo Operator</v>
      </c>
      <c r="I2" t="str">
        <v>DEMO-GR-0001</v>
      </c>
    </row>
    <row r="3">
      <c r="A3">
        <v>46127</v>
      </c>
      <c r="B3" t="str">
        <v>Entrada</v>
      </c>
      <c r="C3" t="str">
        <v>INV-201</v>
      </c>
      <c r="D3" t="str">
        <f>VLOOKUP(C3,PRODUTOS!A:B,2,FALSE)</f>
        <v>Inverters</v>
      </c>
      <c r="E3" t="str">
        <f>VLOOKUP(C3,PRODUTOS!A:D,4,FALSE)</f>
        <v>VT-H5</v>
      </c>
      <c r="F3">
        <v>5</v>
      </c>
      <c r="H3" t="str">
        <v>Demo Operator</v>
      </c>
      <c r="J3" t="str">
        <v>Demo stock receipt</v>
      </c>
    </row>
    <row r="4">
      <c r="A4">
        <v>46134</v>
      </c>
      <c r="B4" t="str">
        <v>Saída</v>
      </c>
      <c r="C4" t="str">
        <v>PAN-102</v>
      </c>
      <c r="D4" t="str">
        <f>VLOOKUP(C4,PRODUTOS!A:B,2,FALSE)</f>
        <v>Solar Panels</v>
      </c>
      <c r="E4" t="str">
        <f>VLOOKUP(C4,PRODUTOS!A:D,4,FALSE)</f>
        <v>SV-550</v>
      </c>
      <c r="F4">
        <v>12</v>
      </c>
      <c r="H4" t="str">
        <v>Demo Operator</v>
      </c>
      <c r="I4" t="str">
        <v>DEMO-OUT-0001</v>
      </c>
    </row>
    <row r="5">
      <c r="A5">
        <v>46148</v>
      </c>
      <c r="B5" t="str">
        <v>Ajuste</v>
      </c>
      <c r="C5" t="str">
        <v>BAT-302</v>
      </c>
      <c r="D5" t="str">
        <f>VLOOKUP(C5,PRODUTOS!A:B,2,FALSE)</f>
        <v>Batteries</v>
      </c>
      <c r="E5" t="str">
        <f>VLOOKUP(C5,PRODUTOS!A:D,4,FALSE)</f>
        <v>GD-RK4</v>
      </c>
      <c r="F5">
        <v>-2</v>
      </c>
      <c r="H5" t="str">
        <v>Demo Operator</v>
      </c>
      <c r="J5" t="str">
        <v>Demo cycle count: 2 units damaged</v>
      </c>
    </row>
    <row r="6">
      <c r="A6">
        <v>46148</v>
      </c>
      <c r="B6" t="str">
        <v>Ajuste</v>
      </c>
      <c r="C6" t="str">
        <v>MNT-502</v>
      </c>
      <c r="D6" t="str">
        <f>VLOOKUP(C6,PRODUTOS!A:B,2,FALSE)</f>
        <v>Mounting &amp; Protection</v>
      </c>
      <c r="E6" t="str">
        <f>VLOOKUP(C6,PRODUTOS!A:D,4,FALSE)</f>
        <v>Roof Hook</v>
      </c>
      <c r="F6">
        <v>5</v>
      </c>
      <c r="H6" t="str">
        <v>Demo Operator</v>
      </c>
      <c r="J6" t="str">
        <v>Demo cycle count: 5 extra units found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Produtos</v>
      </c>
      <c r="B2">
        <v>12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CATEGORIAS</vt:lpstr>
      <vt:lpstr>LOCALIZAÇÕES</vt:lpstr>
      <vt:lpstr>FORNECEDORES</vt:lpstr>
      <vt:lpstr>UTILIZADORES</vt:lpstr>
      <vt:lpstr>PRODUTOS</vt:lpstr>
      <vt:lpstr>MOVIMENTAÇÕES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2026-03-02T00:00:00Z</dcterms:created>
  <dc:creator>Tralyn</dc:creator>
  <dc:title>Tralyn demo inventory</dc:title>
</cp:coreProperties>
</file>